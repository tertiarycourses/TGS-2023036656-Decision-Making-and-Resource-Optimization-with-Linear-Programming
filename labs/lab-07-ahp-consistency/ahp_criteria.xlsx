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B26"/>
      <sz val="14"/>
    </font>
    <font>
      <name val="Calibri"/>
      <b val="1"/>
      <sz val="11"/>
    </font>
    <font>
      <name val="Calibri"/>
      <b val="1"/>
      <color rgb="00FFFFFF"/>
      <sz val="11"/>
    </font>
    <font>
      <i val="1"/>
      <color rgb="005B6372"/>
      <sz val="9"/>
    </font>
  </fonts>
  <fills count="6">
    <fill>
      <patternFill/>
    </fill>
    <fill>
      <patternFill patternType="gray125"/>
    </fill>
    <fill>
      <patternFill patternType="solid">
        <fgColor rgb="00333A46"/>
      </patternFill>
    </fill>
    <fill>
      <patternFill patternType="solid">
        <fgColor rgb="001F6FEB"/>
      </patternFill>
    </fill>
    <fill>
      <patternFill patternType="solid">
        <fgColor rgb="00E8F7EE"/>
      </patternFill>
    </fill>
    <fill>
      <patternFill patternType="solid">
        <fgColor rgb="00FFE4C4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AHP — Criteria Priorities &amp; Consistency</t>
        </is>
      </c>
    </row>
    <row r="3">
      <c r="A3" s="2" t="inlineStr">
        <is>
          <t>Pairwise matrix</t>
        </is>
      </c>
    </row>
    <row r="4">
      <c r="A4" s="3" t="inlineStr">
        <is>
          <t>Criteria</t>
        </is>
      </c>
      <c r="B4" s="4" t="inlineStr">
        <is>
          <t>Cost</t>
        </is>
      </c>
      <c r="C4" s="4" t="inlineStr">
        <is>
          <t>Quality</t>
        </is>
      </c>
      <c r="D4" s="4" t="inlineStr">
        <is>
          <t>Delivery</t>
        </is>
      </c>
      <c r="E4" s="4" t="inlineStr">
        <is>
          <t>Flexibility</t>
        </is>
      </c>
    </row>
    <row r="5">
      <c r="A5" s="2" t="inlineStr">
        <is>
          <t>Cost</t>
        </is>
      </c>
      <c r="B5" s="5" t="n">
        <v>1</v>
      </c>
      <c r="C5" s="5" t="n">
        <v>3</v>
      </c>
      <c r="D5" s="5" t="n">
        <v>2</v>
      </c>
      <c r="E5" s="5" t="n">
        <v>2</v>
      </c>
    </row>
    <row r="6">
      <c r="A6" s="2" t="inlineStr">
        <is>
          <t>Quality</t>
        </is>
      </c>
      <c r="B6" s="5">
        <f>1/C5</f>
        <v/>
      </c>
      <c r="C6" s="5" t="n">
        <v>1</v>
      </c>
      <c r="D6" s="5" t="n">
        <v>0.25</v>
      </c>
      <c r="E6" s="5" t="n">
        <v>0.25</v>
      </c>
    </row>
    <row r="7">
      <c r="A7" s="2" t="inlineStr">
        <is>
          <t>Delivery</t>
        </is>
      </c>
      <c r="B7" s="5">
        <f>1/D5</f>
        <v/>
      </c>
      <c r="C7" s="5">
        <f>1/D6</f>
        <v/>
      </c>
      <c r="D7" s="5" t="n">
        <v>1</v>
      </c>
      <c r="E7" s="5" t="n">
        <v>0.5</v>
      </c>
    </row>
    <row r="8">
      <c r="A8" s="2" t="inlineStr">
        <is>
          <t>Flexibility</t>
        </is>
      </c>
      <c r="B8" s="5">
        <f>1/E5</f>
        <v/>
      </c>
      <c r="C8" s="5">
        <f>1/E6</f>
        <v/>
      </c>
      <c r="D8" s="5">
        <f>1/E7</f>
        <v/>
      </c>
      <c r="E8" s="5" t="n">
        <v>1</v>
      </c>
    </row>
    <row r="9">
      <c r="A9" s="2" t="inlineStr">
        <is>
          <t>Column total</t>
        </is>
      </c>
      <c r="B9" s="5">
        <f>SUM(B5:B8)</f>
        <v/>
      </c>
      <c r="C9" s="5">
        <f>SUM(C5:C8)</f>
        <v/>
      </c>
      <c r="D9" s="5">
        <f>SUM(D5:D8)</f>
        <v/>
      </c>
      <c r="E9" s="5">
        <f>SUM(E5:E8)</f>
        <v/>
      </c>
    </row>
    <row r="11">
      <c r="A11" s="2" t="inlineStr">
        <is>
          <t>Normalised matrix</t>
        </is>
      </c>
    </row>
    <row r="12">
      <c r="A12" s="3" t="inlineStr">
        <is>
          <t>Criteria</t>
        </is>
      </c>
      <c r="B12" s="4" t="inlineStr">
        <is>
          <t>Cost</t>
        </is>
      </c>
      <c r="C12" s="4" t="inlineStr">
        <is>
          <t>Quality</t>
        </is>
      </c>
      <c r="D12" s="4" t="inlineStr">
        <is>
          <t>Delivery</t>
        </is>
      </c>
      <c r="E12" s="4" t="inlineStr">
        <is>
          <t>Flexibility</t>
        </is>
      </c>
      <c r="G12" s="3" t="inlineStr">
        <is>
          <t>Priority</t>
        </is>
      </c>
    </row>
    <row r="13">
      <c r="A13" s="2" t="inlineStr">
        <is>
          <t>Cost</t>
        </is>
      </c>
      <c r="B13" s="5">
        <f>B5/B$9</f>
        <v/>
      </c>
      <c r="C13" s="5">
        <f>C5/C$9</f>
        <v/>
      </c>
      <c r="D13" s="5">
        <f>D5/D$9</f>
        <v/>
      </c>
      <c r="E13" s="5">
        <f>E5/E$9</f>
        <v/>
      </c>
      <c r="G13" s="6">
        <f>AVERAGE(B13:E13)</f>
        <v/>
      </c>
    </row>
    <row r="14">
      <c r="A14" s="2" t="inlineStr">
        <is>
          <t>Quality</t>
        </is>
      </c>
      <c r="B14" s="5">
        <f>B6/B$9</f>
        <v/>
      </c>
      <c r="C14" s="5">
        <f>C6/C$9</f>
        <v/>
      </c>
      <c r="D14" s="5">
        <f>D6/D$9</f>
        <v/>
      </c>
      <c r="E14" s="5">
        <f>E6/E$9</f>
        <v/>
      </c>
      <c r="G14" s="6">
        <f>AVERAGE(B14:E14)</f>
        <v/>
      </c>
    </row>
    <row r="15">
      <c r="A15" s="2" t="inlineStr">
        <is>
          <t>Delivery</t>
        </is>
      </c>
      <c r="B15" s="5">
        <f>B7/B$9</f>
        <v/>
      </c>
      <c r="C15" s="5">
        <f>C7/C$9</f>
        <v/>
      </c>
      <c r="D15" s="5">
        <f>D7/D$9</f>
        <v/>
      </c>
      <c r="E15" s="5">
        <f>E7/E$9</f>
        <v/>
      </c>
      <c r="G15" s="6">
        <f>AVERAGE(B15:E15)</f>
        <v/>
      </c>
    </row>
    <row r="16">
      <c r="A16" s="2" t="inlineStr">
        <is>
          <t>Flexibility</t>
        </is>
      </c>
      <c r="B16" s="5">
        <f>B8/B$9</f>
        <v/>
      </c>
      <c r="C16" s="5">
        <f>C8/C$9</f>
        <v/>
      </c>
      <c r="D16" s="5">
        <f>D8/D$9</f>
        <v/>
      </c>
      <c r="E16" s="5">
        <f>E8/E$9</f>
        <v/>
      </c>
      <c r="G16" s="6">
        <f>AVERAGE(B16:E16)</f>
        <v/>
      </c>
    </row>
    <row r="18">
      <c r="A18" s="2" t="inlineStr">
        <is>
          <t>Consistency check</t>
        </is>
      </c>
    </row>
    <row r="19">
      <c r="A19" s="7" t="inlineStr">
        <is>
          <t>Cost (wsum, ratio)</t>
        </is>
      </c>
      <c r="B19" s="7">
        <f>B5*$G$13+C5*$G$14+D5*$G$15+E5*$G$16</f>
        <v/>
      </c>
      <c r="C19" s="7">
        <f>B19/G13</f>
        <v/>
      </c>
      <c r="E19" s="2" t="inlineStr">
        <is>
          <t>lambda_max</t>
        </is>
      </c>
      <c r="F19" s="8">
        <f>AVERAGE(C19:C22)</f>
        <v/>
      </c>
    </row>
    <row r="20">
      <c r="A20" s="7" t="inlineStr">
        <is>
          <t>Quality</t>
        </is>
      </c>
      <c r="B20" s="7">
        <f>B6*$G$13+C6*$G$14+D6*$G$15+E6*$G$16</f>
        <v/>
      </c>
      <c r="C20" s="7">
        <f>B20/G14</f>
        <v/>
      </c>
      <c r="E20" s="2" t="inlineStr">
        <is>
          <t>CI = (lmax-4)/3</t>
        </is>
      </c>
      <c r="F20" s="8">
        <f>(F19-4)/3</f>
        <v/>
      </c>
    </row>
    <row r="21">
      <c r="A21" s="7" t="inlineStr">
        <is>
          <t>Delivery</t>
        </is>
      </c>
      <c r="B21" s="7">
        <f>B7*$G$13+C7*$G$14+D7*$G$15+E7*$G$16</f>
        <v/>
      </c>
      <c r="C21" s="7">
        <f>B21/G15</f>
        <v/>
      </c>
      <c r="E21" s="2" t="inlineStr">
        <is>
          <t>RI (n=4)</t>
        </is>
      </c>
      <c r="F21" t="n">
        <v>0.9</v>
      </c>
    </row>
    <row r="22">
      <c r="A22" s="7" t="inlineStr">
        <is>
          <t>Flexibility</t>
        </is>
      </c>
      <c r="B22" s="7">
        <f>B8*$G$13+C8*$G$14+D8*$G$15+E8*$G$16</f>
        <v/>
      </c>
      <c r="C22" s="7">
        <f>B22/G16</f>
        <v/>
      </c>
      <c r="E22" s="2" t="inlineStr">
        <is>
          <t>CR = CI/RI</t>
        </is>
      </c>
      <c r="F22" s="8">
        <f>F20/F21</f>
        <v/>
      </c>
    </row>
    <row r="24">
      <c r="A24" s="9" t="inlineStr">
        <is>
          <t>CR must be &lt;= 0.10 to accept the weights (here CR = 0.068).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2026-08-27T19:05:42Z</dcterms:created>
  <dcterms:modified xmlns:dcterms="http://purl.org/dc/terms/" xmlns:xsi="http://www.w3.org/2001/XMLSchema-instance" xsi:type="dcterms:W3CDTF">2026-08-27T19:05:42Z</dcterms:modified>
</cp:coreProperties>
</file>